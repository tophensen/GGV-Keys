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tieren" sheetId="1" state="visible" r:id="rId3"/>
    <sheet name="Iterieren" sheetId="2" state="visible" r:id="rId4"/>
  </sheets>
  <definedNames>
    <definedName function="false" hidden="false" localSheetId="0" name="AnteilErzeugungBeiAufteilungDesRests" vbProcedure="false">Sortieren!$F$1:$F$6</definedName>
    <definedName function="false" hidden="false" localSheetId="0" name="Erzeugung" vbProcedure="false">Sortieren!$A$8</definedName>
    <definedName function="false" hidden="false" localSheetId="0" name="fairshare" vbProcedure="false">Sortieren!$F$7</definedName>
    <definedName function="false" hidden="false" localSheetId="0" name="Gesamtverbrauch" vbProcedure="false">Sortieren!$C$6</definedName>
    <definedName function="false" hidden="false" localSheetId="0" name="KumulativeSumme" vbProcedure="false">Sortieren!$C$1:$C$6</definedName>
    <definedName function="false" hidden="false" localSheetId="0" name="NochÜbrigErzeugung" vbProcedure="false">Sortieren!$D:$D</definedName>
    <definedName function="false" hidden="false" localSheetId="0" name="NochÜbrigTeilnehmer" vbProcedure="false">Sortieren!$E:$E</definedName>
    <definedName function="false" hidden="false" localSheetId="0" name="Prüfsumme" vbProcedure="false">Sortieren!$G$7</definedName>
    <definedName function="false" hidden="false" localSheetId="0" name="SortierteVerbräuche" vbProcedure="false">Sortieren!$B:$B</definedName>
    <definedName function="false" hidden="false" localSheetId="0" name="Verbräuche" vbProcedure="false">Sortieren!$A:$A</definedName>
    <definedName function="false" hidden="false" localSheetId="0" name="Zuteilung" vbProcedure="false">Sortieren!$G:$G</definedName>
    <definedName function="false" hidden="false" localSheetId="1" name="AnzahlTN_mit_Bedarf" vbProcedure="false">Iterieren!$A$9</definedName>
    <definedName function="false" hidden="false" localSheetId="1" name="ErzeugProTN" vbProcedure="false">Iterieren!$A$10</definedName>
    <definedName function="false" hidden="false" localSheetId="1" name="Erzeugung" vbProcedure="false">Iterieren!$A$8</definedName>
    <definedName function="false" hidden="false" localSheetId="1" name="Gesamtverbrauch" vbProcedure="false">Iterieren!$A$7</definedName>
    <definedName function="false" hidden="false" localSheetId="1" name="Prüfsumme" vbProcedure="false">Iterieren!$D$7</definedName>
    <definedName function="false" hidden="false" localSheetId="1" name="RestErzeugungPP1" vbProcedure="false">Iterieren!$B$11</definedName>
    <definedName function="false" hidden="false" localSheetId="1" name="RestErzeugungPP2" vbProcedure="false">Iterieren!$C$11</definedName>
  </definedName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Unbekannter Autor</author>
  </authors>
  <commentList>
    <comment ref="A1" authorId="0">
      <text>
        <r>
          <rPr>
            <sz val="10"/>
            <rFont val="Arial"/>
            <family val="2"/>
          </rPr>
          <t xml:space="preserve">Fassungsvermögen der Gläser (=Verbräuche der Teilnehmer in der letzten Viertelstunde)</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5</xdr:row>
                <xdr:rowOff>12</xdr:rowOff>
              </xdr:to>
            </anchor>
          </commentPr>
        </mc:Choice>
        <mc:Fallback/>
      </mc:AlternateContent>
    </comment>
    <comment ref="A7" authorId="0">
      <text>
        <r>
          <rPr>
            <sz val="10"/>
            <rFont val="Arial"/>
            <family val="2"/>
          </rPr>
          <t xml:space="preserve">Gesamtfassungvermögen aller Gläser (=Gesamtverbrauch aller Teilnehmer)</t>
        </r>
      </text>
      <mc:AlternateContent>
        <mc:Choice Requires="v2">
          <commentPr autoFill="true" autoScale="false" colHidden="false" locked="false" rowHidden="false" textHAlign="justify" textVAlign="top">
            <anchor moveWithCells="false" sizeWithCells="false">
              <xdr:from>
                <xdr:col>1</xdr:col>
                <xdr:colOff>23</xdr:colOff>
                <xdr:row>2</xdr:row>
                <xdr:rowOff>12</xdr:rowOff>
              </xdr:from>
              <xdr:to>
                <xdr:col>2</xdr:col>
                <xdr:colOff>47</xdr:colOff>
                <xdr:row>8</xdr:row>
                <xdr:rowOff>6</xdr:rowOff>
              </xdr:to>
            </anchor>
          </commentPr>
        </mc:Choice>
        <mc:Fallback/>
      </mc:AlternateContent>
    </comment>
    <comment ref="A8" authorId="0">
      <text>
        <r>
          <rPr>
            <sz val="10"/>
            <rFont val="Arial"/>
            <family val="2"/>
          </rPr>
          <t xml:space="preserve">Größe der Sektflasche (=Erzeugung in der letzten Viertelstunde)</t>
        </r>
      </text>
      <mc:AlternateContent>
        <mc:Choice Requires="v2">
          <commentPr autoFill="true" autoScale="false" colHidden="false" locked="false" rowHidden="false" textHAlign="justify" textVAlign="top">
            <anchor moveWithCells="false" sizeWithCells="false">
              <xdr:from>
                <xdr:col>1</xdr:col>
                <xdr:colOff>23</xdr:colOff>
                <xdr:row>3</xdr:row>
                <xdr:rowOff>12</xdr:rowOff>
              </xdr:from>
              <xdr:to>
                <xdr:col>2</xdr:col>
                <xdr:colOff>47</xdr:colOff>
                <xdr:row>8</xdr:row>
                <xdr:rowOff>9</xdr:rowOff>
              </xdr:to>
            </anchor>
          </commentPr>
        </mc:Choice>
        <mc:Fallback/>
      </mc:AlternateContent>
    </comment>
    <comment ref="A9" authorId="0">
      <text>
        <r>
          <rPr>
            <sz val="10"/>
            <rFont val="Arial"/>
            <family val="2"/>
          </rPr>
          <t xml:space="preserve">Anzahl der Gläser (=Anzahl Teilnehmer)</t>
        </r>
      </text>
      <mc:AlternateContent>
        <mc:Choice Requires="v2">
          <commentPr autoFill="true" autoScale="false" colHidden="false" locked="false" rowHidden="false" textHAlign="justify" textVAlign="top">
            <anchor moveWithCells="false" sizeWithCells="false">
              <xdr:from>
                <xdr:col>1</xdr:col>
                <xdr:colOff>23</xdr:colOff>
                <xdr:row>4</xdr:row>
                <xdr:rowOff>12</xdr:rowOff>
              </xdr:from>
              <xdr:to>
                <xdr:col>2</xdr:col>
                <xdr:colOff>47</xdr:colOff>
                <xdr:row>8</xdr:row>
                <xdr:rowOff>11</xdr:rowOff>
              </xdr:to>
            </anchor>
          </commentPr>
        </mc:Choice>
        <mc:Fallback/>
      </mc:AlternateContent>
    </comment>
    <comment ref="C1" authorId="0">
      <text>
        <r>
          <rPr>
            <sz val="10"/>
            <rFont val="Arial"/>
            <family val="2"/>
          </rPr>
          <t xml:space="preserve">Die sortierte Liste wird aufkumuliert: Wie viel muss ich eingießen um die jeweils n kleinsten Gläser zu füllen?</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47</xdr:colOff>
                <xdr:row>7</xdr:row>
                <xdr:rowOff>8</xdr:rowOff>
              </xdr:to>
            </anchor>
          </commentPr>
        </mc:Choice>
        <mc:Fallback/>
      </mc:AlternateContent>
    </comment>
    <comment ref="D1" authorId="0">
      <text>
        <r>
          <rPr>
            <sz val="10"/>
            <rFont val="Arial"/>
            <family val="2"/>
          </rPr>
          <t xml:space="preserve">Wie viel habe ich noch übrig, wenn ich alle Gläser, die kleiner sind schon gefüllt habe?</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47</xdr:colOff>
                <xdr:row>5</xdr:row>
                <xdr:rowOff>12</xdr:rowOff>
              </xdr:to>
            </anchor>
          </commentPr>
        </mc:Choice>
        <mc:Fallback/>
      </mc:AlternateContent>
    </comment>
    <comment ref="E1" authorId="0">
      <text>
        <r>
          <rPr>
            <sz val="10"/>
            <rFont val="Arial"/>
            <family val="2"/>
          </rPr>
          <t xml:space="preserve">Wie viele Teilnehmer sind dabei noch nicht versorgt?</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47</xdr:colOff>
                <xdr:row>3</xdr:row>
                <xdr:rowOff>17</xdr:rowOff>
              </xdr:to>
            </anchor>
          </commentPr>
        </mc:Choice>
        <mc:Fallback/>
      </mc:AlternateContent>
    </comment>
    <comment ref="F1" authorId="0">
      <text>
        <r>
          <rPr>
            <sz val="10"/>
            <rFont val="Arial"/>
            <family val="2"/>
          </rPr>
          <t xml:space="preserve">Was noch übrig ist geteilt durch Anzahl noch leerer Gläser</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47</xdr:colOff>
                <xdr:row>3</xdr:row>
                <xdr:rowOff>17</xdr:rowOff>
              </xdr:to>
            </anchor>
          </commentPr>
        </mc:Choice>
        <mc:Fallback/>
      </mc:AlternateContent>
    </comment>
    <comment ref="F7" authorId="0">
      <text>
        <r>
          <rPr>
            <sz val="10"/>
            <rFont val="Arial"/>
            <family val="2"/>
          </rPr>
          <t xml:space="preserve">Das Maximum dieser Spalte nennen wir FairShare. Ab da sollten wir nämlich die Gläser nicht mehr voll machen, denn sonst bekommt der nächste offensichtlich weniger. (Direkter geht das über die Bedingung RestMenge/RestTeilnehmer &lt;= Glasgröße)</t>
        </r>
      </text>
      <mc:AlternateContent>
        <mc:Choice Requires="v2">
          <commentPr autoFill="true" autoScale="false" colHidden="false" locked="false" rowHidden="false" textHAlign="justify" textVAlign="top">
            <anchor moveWithCells="false" sizeWithCells="false">
              <xdr:from>
                <xdr:col>6</xdr:col>
                <xdr:colOff>23</xdr:colOff>
                <xdr:row>2</xdr:row>
                <xdr:rowOff>12</xdr:rowOff>
              </xdr:from>
              <xdr:to>
                <xdr:col>7</xdr:col>
                <xdr:colOff>47</xdr:colOff>
                <xdr:row>19</xdr:row>
                <xdr:rowOff>13</xdr:rowOff>
              </xdr:to>
            </anchor>
          </commentPr>
        </mc:Choice>
        <mc:Fallback/>
      </mc:AlternateContent>
    </comment>
    <comment ref="G7" authorId="0">
      <text>
        <r>
          <rPr>
            <sz val="10"/>
            <rFont val="Arial"/>
            <family val="2"/>
          </rPr>
          <t xml:space="preserve">Insgesamt verteilte Menge</t>
        </r>
      </text>
      <mc:AlternateContent>
        <mc:Choice Requires="v2">
          <commentPr autoFill="true" autoScale="false" colHidden="false" locked="false" rowHidden="false" textHAlign="justify" textVAlign="top">
            <anchor moveWithCells="false" sizeWithCells="false">
              <xdr:from>
                <xdr:col>7</xdr:col>
                <xdr:colOff>23</xdr:colOff>
                <xdr:row>2</xdr:row>
                <xdr:rowOff>12</xdr:rowOff>
              </xdr:from>
              <xdr:to>
                <xdr:col>8</xdr:col>
                <xdr:colOff>47</xdr:colOff>
                <xdr:row>6</xdr:row>
                <xdr:rowOff>11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Unbekannter Autor</author>
  </authors>
  <commentList>
    <comment ref="A1" authorId="0">
      <text>
        <r>
          <rPr>
            <sz val="10"/>
            <rFont val="Arial"/>
            <family val="2"/>
          </rPr>
          <t xml:space="preserve">Fassungsvermögen der Gläser (=Verbräuche der Teilnehmer in der letzten Viertelstunde)</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5</xdr:row>
                <xdr:rowOff>12</xdr:rowOff>
              </xdr:to>
            </anchor>
          </commentPr>
        </mc:Choice>
        <mc:Fallback/>
      </mc:AlternateContent>
    </comment>
    <comment ref="A7" authorId="0">
      <text>
        <r>
          <rPr>
            <sz val="10"/>
            <rFont val="Arial"/>
            <family val="2"/>
          </rPr>
          <t xml:space="preserve">Gesamtfassungvermögen aller Gläser (=Gesamtverbrauch aller Teilnehmer)</t>
        </r>
      </text>
      <mc:AlternateContent>
        <mc:Choice Requires="v2">
          <commentPr autoFill="true" autoScale="false" colHidden="false" locked="false" rowHidden="false" textHAlign="justify" textVAlign="top">
            <anchor moveWithCells="false" sizeWithCells="false">
              <xdr:from>
                <xdr:col>1</xdr:col>
                <xdr:colOff>23</xdr:colOff>
                <xdr:row>2</xdr:row>
                <xdr:rowOff>12</xdr:rowOff>
              </xdr:from>
              <xdr:to>
                <xdr:col>2</xdr:col>
                <xdr:colOff>47</xdr:colOff>
                <xdr:row>8</xdr:row>
                <xdr:rowOff>6</xdr:rowOff>
              </xdr:to>
            </anchor>
          </commentPr>
        </mc:Choice>
        <mc:Fallback/>
      </mc:AlternateContent>
    </comment>
    <comment ref="A8" authorId="0">
      <text>
        <r>
          <rPr>
            <sz val="10"/>
            <rFont val="Arial"/>
            <family val="2"/>
          </rPr>
          <t xml:space="preserve">Größe der Sektflasche (=Erzeugung in der letzten Viertelstunde)</t>
        </r>
      </text>
      <mc:AlternateContent>
        <mc:Choice Requires="v2">
          <commentPr autoFill="true" autoScale="false" colHidden="false" locked="false" rowHidden="false" textHAlign="justify" textVAlign="top">
            <anchor moveWithCells="false" sizeWithCells="false">
              <xdr:from>
                <xdr:col>1</xdr:col>
                <xdr:colOff>23</xdr:colOff>
                <xdr:row>3</xdr:row>
                <xdr:rowOff>12</xdr:rowOff>
              </xdr:from>
              <xdr:to>
                <xdr:col>2</xdr:col>
                <xdr:colOff>47</xdr:colOff>
                <xdr:row>8</xdr:row>
                <xdr:rowOff>9</xdr:rowOff>
              </xdr:to>
            </anchor>
          </commentPr>
        </mc:Choice>
        <mc:Fallback/>
      </mc:AlternateContent>
    </comment>
    <comment ref="A9" authorId="0">
      <text>
        <r>
          <rPr>
            <sz val="10"/>
            <rFont val="Arial"/>
            <family val="2"/>
          </rPr>
          <t xml:space="preserve">Anzahl Trinker (=Anzahl Teilnehmer, mit Verbrauch&gt;0)</t>
        </r>
      </text>
      <mc:AlternateContent>
        <mc:Choice Requires="v2">
          <commentPr autoFill="true" autoScale="false" colHidden="false" locked="false" rowHidden="false" textHAlign="justify" textVAlign="top">
            <anchor moveWithCells="false" sizeWithCells="false">
              <xdr:from>
                <xdr:col>1</xdr:col>
                <xdr:colOff>23</xdr:colOff>
                <xdr:row>4</xdr:row>
                <xdr:rowOff>12</xdr:rowOff>
              </xdr:from>
              <xdr:to>
                <xdr:col>2</xdr:col>
                <xdr:colOff>47</xdr:colOff>
                <xdr:row>8</xdr:row>
                <xdr:rowOff>11</xdr:rowOff>
              </xdr:to>
            </anchor>
          </commentPr>
        </mc:Choice>
        <mc:Fallback/>
      </mc:AlternateContent>
    </comment>
    <comment ref="A10" authorId="0">
      <text>
        <r>
          <rPr>
            <sz val="10"/>
            <rFont val="Arial"/>
            <family val="2"/>
          </rPr>
          <t xml:space="preserve">Fairer Anteil, wenn alle Gläser gleich groß wären (=statischer Schlüssel)</t>
        </r>
      </text>
      <mc:AlternateContent>
        <mc:Choice Requires="v2">
          <commentPr autoFill="true" autoScale="false" colHidden="false" locked="false" rowHidden="false" textHAlign="justify" textVAlign="top">
            <anchor moveWithCells="false" sizeWithCells="false">
              <xdr:from>
                <xdr:col>1</xdr:col>
                <xdr:colOff>23</xdr:colOff>
                <xdr:row>5</xdr:row>
                <xdr:rowOff>12</xdr:rowOff>
              </xdr:from>
              <xdr:to>
                <xdr:col>2</xdr:col>
                <xdr:colOff>47</xdr:colOff>
                <xdr:row>11</xdr:row>
                <xdr:rowOff>6</xdr:rowOff>
              </xdr:to>
            </anchor>
          </commentPr>
        </mc:Choice>
        <mc:Fallback/>
      </mc:AlternateContent>
    </comment>
    <comment ref="B1" authorId="0">
      <text>
        <r>
          <rPr>
            <sz val="10"/>
            <rFont val="Arial"/>
            <family val="2"/>
          </rPr>
          <t xml:space="preserve">Zuteilung nach dem statischen Schlüssel (1. Runde)</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47</xdr:colOff>
                <xdr:row>3</xdr:row>
                <xdr:rowOff>17</xdr:rowOff>
              </xdr:to>
            </anchor>
          </commentPr>
        </mc:Choice>
        <mc:Fallback/>
      </mc:AlternateContent>
    </comment>
    <comment ref="B7" authorId="0">
      <text>
        <r>
          <rPr>
            <sz val="10"/>
            <rFont val="Arial"/>
            <family val="2"/>
          </rPr>
          <t xml:space="preserve">Wie viel wurde in der 1. Runde zugeteilt?</t>
        </r>
      </text>
      <mc:AlternateContent>
        <mc:Choice Requires="v2">
          <commentPr autoFill="true" autoScale="false" colHidden="false" locked="false" rowHidden="false" textHAlign="justify" textVAlign="top">
            <anchor moveWithCells="false" sizeWithCells="false">
              <xdr:from>
                <xdr:col>2</xdr:col>
                <xdr:colOff>23</xdr:colOff>
                <xdr:row>2</xdr:row>
                <xdr:rowOff>12</xdr:rowOff>
              </xdr:from>
              <xdr:to>
                <xdr:col>3</xdr:col>
                <xdr:colOff>47</xdr:colOff>
                <xdr:row>6</xdr:row>
                <xdr:rowOff>11</xdr:rowOff>
              </xdr:to>
            </anchor>
          </commentPr>
        </mc:Choice>
        <mc:Fallback/>
      </mc:AlternateContent>
    </comment>
    <comment ref="B8" authorId="0">
      <text>
        <r>
          <rPr>
            <sz val="10"/>
            <rFont val="Arial"/>
            <family val="2"/>
          </rPr>
          <t xml:space="preserve">Was ist noch übrig?</t>
        </r>
      </text>
      <mc:AlternateContent>
        <mc:Choice Requires="v2">
          <commentPr autoFill="true" autoScale="false" colHidden="false" locked="false" rowHidden="false" textHAlign="justify" textVAlign="top">
            <anchor moveWithCells="false" sizeWithCells="false">
              <xdr:from>
                <xdr:col>2</xdr:col>
                <xdr:colOff>23</xdr:colOff>
                <xdr:row>3</xdr:row>
                <xdr:rowOff>12</xdr:rowOff>
              </xdr:from>
              <xdr:to>
                <xdr:col>3</xdr:col>
                <xdr:colOff>47</xdr:colOff>
                <xdr:row>7</xdr:row>
                <xdr:rowOff>11</xdr:rowOff>
              </xdr:to>
            </anchor>
          </commentPr>
        </mc:Choice>
        <mc:Fallback/>
      </mc:AlternateContent>
    </comment>
    <comment ref="B9" authorId="0">
      <text>
        <r>
          <rPr>
            <sz val="10"/>
            <rFont val="Arial"/>
            <family val="2"/>
          </rPr>
          <t xml:space="preserve">Wie viele Gläser sind noch nicht voll?</t>
        </r>
      </text>
      <mc:AlternateContent>
        <mc:Choice Requires="v2">
          <commentPr autoFill="true" autoScale="false" colHidden="false" locked="false" rowHidden="false" textHAlign="justify" textVAlign="top">
            <anchor moveWithCells="false" sizeWithCells="false">
              <xdr:from>
                <xdr:col>2</xdr:col>
                <xdr:colOff>23</xdr:colOff>
                <xdr:row>4</xdr:row>
                <xdr:rowOff>12</xdr:rowOff>
              </xdr:from>
              <xdr:to>
                <xdr:col>3</xdr:col>
                <xdr:colOff>47</xdr:colOff>
                <xdr:row>8</xdr:row>
                <xdr:rowOff>11</xdr:rowOff>
              </xdr:to>
            </anchor>
          </commentPr>
        </mc:Choice>
        <mc:Fallback/>
      </mc:AlternateContent>
    </comment>
    <comment ref="B10" authorId="0">
      <text>
        <r>
          <rPr>
            <sz val="10"/>
            <rFont val="Arial"/>
            <family val="2"/>
          </rPr>
          <t xml:space="preserve">Der Rest aufgeteilt auf die noch nicht vollen Gläser</t>
        </r>
      </text>
      <mc:AlternateContent>
        <mc:Choice Requires="v2">
          <commentPr autoFill="true" autoScale="false" colHidden="false" locked="false" rowHidden="false" textHAlign="justify" textVAlign="top">
            <anchor moveWithCells="false" sizeWithCells="false">
              <xdr:from>
                <xdr:col>2</xdr:col>
                <xdr:colOff>23</xdr:colOff>
                <xdr:row>5</xdr:row>
                <xdr:rowOff>12</xdr:rowOff>
              </xdr:from>
              <xdr:to>
                <xdr:col>3</xdr:col>
                <xdr:colOff>47</xdr:colOff>
                <xdr:row>9</xdr:row>
                <xdr:rowOff>11</xdr:rowOff>
              </xdr:to>
            </anchor>
          </commentPr>
        </mc:Choice>
        <mc:Fallback/>
      </mc:AlternateContent>
    </comment>
    <comment ref="B11" authorId="0">
      <text>
        <r>
          <rPr>
            <sz val="10"/>
            <rFont val="Arial"/>
            <family val="2"/>
          </rPr>
          <t xml:space="preserve">Bis wohin darf ein Glas also in der nächsten Runde maximal gefüllt werden?</t>
        </r>
      </text>
      <mc:AlternateContent>
        <mc:Choice Requires="v2">
          <commentPr autoFill="true" autoScale="false" colHidden="false" locked="false" rowHidden="false" textHAlign="justify" textVAlign="top">
            <anchor moveWithCells="false" sizeWithCells="false">
              <xdr:from>
                <xdr:col>2</xdr:col>
                <xdr:colOff>23</xdr:colOff>
                <xdr:row>6</xdr:row>
                <xdr:rowOff>12</xdr:rowOff>
              </xdr:from>
              <xdr:to>
                <xdr:col>3</xdr:col>
                <xdr:colOff>47</xdr:colOff>
                <xdr:row>11</xdr:row>
                <xdr:rowOff>9</xdr:rowOff>
              </xdr:to>
            </anchor>
          </commentPr>
        </mc:Choice>
        <mc:Fallback/>
      </mc:AlternateContent>
    </comment>
    <comment ref="C7" authorId="0">
      <text>
        <r>
          <rPr>
            <sz val="10"/>
            <rFont val="Arial"/>
            <family val="2"/>
          </rPr>
          <t xml:space="preserve">Wie viel wurde nach der 2. Runde insgesamt verteilt?</t>
        </r>
      </text>
      <mc:AlternateContent>
        <mc:Choice Requires="v2">
          <commentPr autoFill="true" autoScale="false" colHidden="false" locked="false" rowHidden="false" textHAlign="justify" textVAlign="top">
            <anchor moveWithCells="false" sizeWithCells="false">
              <xdr:from>
                <xdr:col>3</xdr:col>
                <xdr:colOff>23</xdr:colOff>
                <xdr:row>2</xdr:row>
                <xdr:rowOff>12</xdr:rowOff>
              </xdr:from>
              <xdr:to>
                <xdr:col>4</xdr:col>
                <xdr:colOff>47</xdr:colOff>
                <xdr:row>7</xdr:row>
                <xdr:rowOff>8</xdr:rowOff>
              </xdr:to>
            </anchor>
          </commentPr>
        </mc:Choice>
        <mc:Fallback/>
      </mc:AlternateContent>
    </comment>
    <comment ref="C8" authorId="0">
      <text>
        <r>
          <rPr>
            <sz val="10"/>
            <rFont val="Arial"/>
            <family val="2"/>
          </rPr>
          <t xml:space="preserve">Was ist noch übrig?</t>
        </r>
      </text>
      <mc:AlternateContent>
        <mc:Choice Requires="v2">
          <commentPr autoFill="true" autoScale="false" colHidden="false" locked="false" rowHidden="false" textHAlign="justify" textVAlign="top">
            <anchor moveWithCells="false" sizeWithCells="false">
              <xdr:from>
                <xdr:col>3</xdr:col>
                <xdr:colOff>23</xdr:colOff>
                <xdr:row>3</xdr:row>
                <xdr:rowOff>12</xdr:rowOff>
              </xdr:from>
              <xdr:to>
                <xdr:col>4</xdr:col>
                <xdr:colOff>47</xdr:colOff>
                <xdr:row>7</xdr:row>
                <xdr:rowOff>11</xdr:rowOff>
              </xdr:to>
            </anchor>
          </commentPr>
        </mc:Choice>
        <mc:Fallback/>
      </mc:AlternateContent>
    </comment>
    <comment ref="C9" authorId="0">
      <text>
        <r>
          <rPr>
            <sz val="10"/>
            <rFont val="Arial"/>
            <family val="2"/>
          </rPr>
          <t xml:space="preserve">Wie viele Gläser sind noch nicht voll?</t>
        </r>
      </text>
      <mc:AlternateContent>
        <mc:Choice Requires="v2">
          <commentPr autoFill="true" autoScale="false" colHidden="false" locked="false" rowHidden="false" textHAlign="justify" textVAlign="top">
            <anchor moveWithCells="false" sizeWithCells="false">
              <xdr:from>
                <xdr:col>3</xdr:col>
                <xdr:colOff>23</xdr:colOff>
                <xdr:row>4</xdr:row>
                <xdr:rowOff>12</xdr:rowOff>
              </xdr:from>
              <xdr:to>
                <xdr:col>4</xdr:col>
                <xdr:colOff>47</xdr:colOff>
                <xdr:row>8</xdr:row>
                <xdr:rowOff>11</xdr:rowOff>
              </xdr:to>
            </anchor>
          </commentPr>
        </mc:Choice>
        <mc:Fallback/>
      </mc:AlternateContent>
    </comment>
    <comment ref="C10" authorId="0">
      <text>
        <r>
          <rPr>
            <sz val="10"/>
            <rFont val="Arial"/>
            <family val="2"/>
          </rPr>
          <t xml:space="preserve">Der Rest aufgeteilt auf die noch nicht vollen Gläser</t>
        </r>
      </text>
      <mc:AlternateContent>
        <mc:Choice Requires="v2">
          <commentPr autoFill="true" autoScale="false" colHidden="false" locked="false" rowHidden="false" textHAlign="justify" textVAlign="top">
            <anchor moveWithCells="false" sizeWithCells="false">
              <xdr:from>
                <xdr:col>3</xdr:col>
                <xdr:colOff>23</xdr:colOff>
                <xdr:row>5</xdr:row>
                <xdr:rowOff>12</xdr:rowOff>
              </xdr:from>
              <xdr:to>
                <xdr:col>4</xdr:col>
                <xdr:colOff>47</xdr:colOff>
                <xdr:row>9</xdr:row>
                <xdr:rowOff>11</xdr:rowOff>
              </xdr:to>
            </anchor>
          </commentPr>
        </mc:Choice>
        <mc:Fallback/>
      </mc:AlternateContent>
    </comment>
    <comment ref="C11" authorId="0">
      <text>
        <r>
          <rPr>
            <sz val="10"/>
            <rFont val="Arial"/>
            <family val="2"/>
          </rPr>
          <t xml:space="preserve">Bis wohin darf ein Glas also in der nächsten Runde maximal gefüllt werden?</t>
        </r>
      </text>
      <mc:AlternateContent>
        <mc:Choice Requires="v2">
          <commentPr autoFill="true" autoScale="false" colHidden="false" locked="false" rowHidden="false" textHAlign="justify" textVAlign="top">
            <anchor moveWithCells="false" sizeWithCells="false">
              <xdr:from>
                <xdr:col>3</xdr:col>
                <xdr:colOff>23</xdr:colOff>
                <xdr:row>6</xdr:row>
                <xdr:rowOff>12</xdr:rowOff>
              </xdr:from>
              <xdr:to>
                <xdr:col>4</xdr:col>
                <xdr:colOff>47</xdr:colOff>
                <xdr:row>11</xdr:row>
                <xdr:rowOff>9</xdr:rowOff>
              </xdr:to>
            </anchor>
          </commentPr>
        </mc:Choice>
        <mc:Fallback/>
      </mc:AlternateContent>
    </comment>
    <comment ref="D1" authorId="0">
      <text>
        <r>
          <rPr>
            <sz val="10"/>
            <rFont val="Arial"/>
            <family val="2"/>
          </rPr>
          <t xml:space="preserve">Ergebnis: Falls möglich, ist Dein Glas voll. Falls nicht, bekommst Du immerhin nicht (viel) weniger als irgendjemand sonst. Die Unterschiede werden mit jeder Runde kleiner. I.d.R. reichen 2-3 Iterationen</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47</xdr:colOff>
                <xdr:row>12</xdr:row>
                <xdr:rowOff>12</xdr:rowOff>
              </xdr:to>
            </anchor>
          </commentPr>
        </mc:Choice>
        <mc:Fallback/>
      </mc:AlternateContent>
    </comment>
    <comment ref="D7" authorId="0">
      <text>
        <r>
          <rPr>
            <sz val="10"/>
            <rFont val="Arial"/>
            <family val="2"/>
          </rPr>
          <t xml:space="preserve">Insgesamt verteilte Menge (Prüfsumme)</t>
        </r>
      </text>
      <mc:AlternateContent>
        <mc:Choice Requires="v2">
          <commentPr autoFill="true" autoScale="false" colHidden="false" locked="false" rowHidden="false" textHAlign="justify" textVAlign="top">
            <anchor moveWithCells="false" sizeWithCells="false">
              <xdr:from>
                <xdr:col>4</xdr:col>
                <xdr:colOff>23</xdr:colOff>
                <xdr:row>2</xdr:row>
                <xdr:rowOff>12</xdr:rowOff>
              </xdr:from>
              <xdr:to>
                <xdr:col>5</xdr:col>
                <xdr:colOff>47</xdr:colOff>
                <xdr:row>6</xdr:row>
                <xdr:rowOff>11</xdr:rowOff>
              </xdr:to>
            </anchor>
          </commentPr>
        </mc:Choice>
        <mc:Fallback/>
      </mc:AlternateContent>
    </comment>
  </commentList>
</comments>
</file>

<file path=xl/sharedStrings.xml><?xml version="1.0" encoding="utf-8"?>
<sst xmlns="http://schemas.openxmlformats.org/spreadsheetml/2006/main" count="2" uniqueCount="2">
  <si>
    <t xml:space="preserve">Hier werden Gläser unterschiedlicher Größe, beginnend mit dem kleinsten Glas, der Größe nach so lange voll gemacht, bis der Rest aufgeteilt auf die restlichen Gläser das nächste Glas gerade nicht mehr voll macht.</t>
  </si>
  <si>
    <t xml:space="preserve">Hier wird die vorhandene Menge in mehreren Runden auf die Gläser aufgeteilt. Der jeweils verbleibende Rest wird in der nächsten Runde auf die Gläser aufgeteilt, die noch nicht voll sind.</t>
  </si>
</sst>
</file>

<file path=xl/styles.xml><?xml version="1.0" encoding="utf-8"?>
<styleSheet xmlns="http://schemas.openxmlformats.org/spreadsheetml/2006/main">
  <numFmts count="5">
    <numFmt numFmtId="164" formatCode="General"/>
    <numFmt numFmtId="165" formatCode="0.0"/>
    <numFmt numFmtId="166" formatCode="0.00"/>
    <numFmt numFmtId="167" formatCode="0"/>
    <numFmt numFmtId="168" formatCode="@"/>
  </numFmts>
  <fonts count="8">
    <font>
      <sz val="10"/>
      <name val="Arial"/>
      <family val="2"/>
    </font>
    <font>
      <sz val="10"/>
      <name val="Arial"/>
      <family val="0"/>
    </font>
    <font>
      <sz val="10"/>
      <name val="Arial"/>
      <family val="0"/>
    </font>
    <font>
      <sz val="10"/>
      <name val="Arial"/>
      <family val="0"/>
    </font>
    <font>
      <sz val="10"/>
      <color rgb="FFA7074B"/>
      <name val="Arial"/>
      <family val="2"/>
    </font>
    <font>
      <sz val="10"/>
      <color rgb="FF395511"/>
      <name val="Arial"/>
      <family val="2"/>
    </font>
    <font>
      <sz val="10"/>
      <color rgb="FF5EB91E"/>
      <name val="Arial"/>
      <family val="2"/>
    </font>
    <font>
      <sz val="10"/>
      <color rgb="FF468A1A"/>
      <name val="Arial"/>
      <family val="2"/>
    </font>
  </fonts>
  <fills count="3">
    <fill>
      <patternFill patternType="none"/>
    </fill>
    <fill>
      <patternFill patternType="gray125"/>
    </fill>
    <fill>
      <patternFill patternType="solid">
        <fgColor rgb="FF81D41A"/>
        <bgColor rgb="FF5EB91E"/>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false" applyProtection="false">
      <alignment horizontal="general" vertical="bottom" textRotation="0" wrapText="fals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6" fontId="4" fillId="0" borderId="3" xfId="0" applyFont="true" applyBorder="true" applyAlignment="false" applyProtection="false">
      <alignment horizontal="general" vertical="bottom" textRotation="0" wrapText="false" indent="0" shrinkToFit="false"/>
      <protection locked="true" hidden="false"/>
    </xf>
    <xf numFmtId="166" fontId="5" fillId="0" borderId="3" xfId="0" applyFont="true" applyBorder="true" applyAlignment="false" applyProtection="false">
      <alignment horizontal="general" vertical="bottom" textRotation="0" wrapText="false" indent="0" shrinkToFit="false"/>
      <protection locked="true" hidden="false"/>
    </xf>
    <xf numFmtId="166" fontId="4" fillId="0" borderId="4" xfId="0" applyFont="true" applyBorder="tru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6" fontId="0" fillId="0" borderId="5" xfId="0" applyFont="false" applyBorder="true" applyAlignment="false" applyProtection="false">
      <alignment horizontal="general" vertical="bottom" textRotation="0" wrapText="false" indent="0" shrinkToFit="false"/>
      <protection locked="true" hidden="false"/>
    </xf>
    <xf numFmtId="166" fontId="5" fillId="0" borderId="4" xfId="0" applyFont="true" applyBorder="true" applyAlignment="false" applyProtection="false">
      <alignment horizontal="general" vertical="bottom" textRotation="0" wrapText="false" indent="0" shrinkToFit="false"/>
      <protection locked="true" hidden="false"/>
    </xf>
    <xf numFmtId="166" fontId="0" fillId="2" borderId="0" xfId="0" applyFont="fals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5" fillId="0" borderId="3" xfId="0" applyFont="true" applyBorder="true" applyAlignment="false" applyProtection="false">
      <alignment horizontal="general" vertical="bottom" textRotation="0" wrapText="false" indent="0" shrinkToFit="false"/>
      <protection locked="true" hidden="false"/>
    </xf>
    <xf numFmtId="166" fontId="6" fillId="0" borderId="5" xfId="0" applyFont="true" applyBorder="true" applyAlignment="false" applyProtection="false">
      <alignment horizontal="general" vertical="bottom" textRotation="0" wrapText="false" indent="0" shrinkToFit="false"/>
      <protection locked="true" hidden="false"/>
    </xf>
    <xf numFmtId="166" fontId="7" fillId="0" borderId="5" xfId="0" applyFont="true" applyBorder="true" applyAlignment="false" applyProtection="false">
      <alignment horizontal="general" vertical="bottom" textRotation="0" wrapText="false" indent="0" shrinkToFit="false"/>
      <protection locked="true" hidden="false"/>
    </xf>
    <xf numFmtId="166" fontId="5" fillId="0" borderId="4" xfId="0" applyFont="true" applyBorder="tru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A7074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EB91E"/>
      <rgbColor rgb="FFA7074B"/>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468A1A"/>
      <rgbColor rgb="FF003300"/>
      <rgbColor rgb="FF395511"/>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 activeCellId="0" sqref="G1:G6"/>
    </sheetView>
  </sheetViews>
  <sheetFormatPr defaultColWidth="11.53515625" defaultRowHeight="12.8" customHeight="false" zeroHeight="false" outlineLevelRow="0" outlineLevelCol="0"/>
  <cols>
    <col collapsed="false" customWidth="false" hidden="false" outlineLevel="0" max="5" min="1" style="1" width="11.53"/>
    <col collapsed="false" customWidth="false" hidden="false" outlineLevel="0" max="7" min="6" style="2" width="11.53"/>
  </cols>
  <sheetData>
    <row r="1" customFormat="false" ht="12.8" hidden="false" customHeight="false" outlineLevel="0" collapsed="false">
      <c r="A1" s="3" t="n">
        <v>3.9</v>
      </c>
      <c r="B1" s="2" t="n">
        <f aca="false" t="array" ref="B1:B6">_xlfn._xlws.SORT(A1:A6)</f>
        <v>0.5</v>
      </c>
      <c r="C1" s="2" t="n">
        <f aca="false">SUM(B1)</f>
        <v>0.5</v>
      </c>
      <c r="D1" s="2" t="n">
        <f aca="false">Erzeugung</f>
        <v>6</v>
      </c>
      <c r="E1" s="4" t="n">
        <f aca="false">ROW(Gesamtverbrauch)-ROW(A1) +1</f>
        <v>6</v>
      </c>
      <c r="F1" s="2" t="n">
        <f aca="false">D1/E1</f>
        <v>1</v>
      </c>
      <c r="G1" s="5" t="n">
        <f aca="false">MIN(B1,fairshare)</f>
        <v>0.5</v>
      </c>
    </row>
    <row r="2" customFormat="false" ht="12.8" hidden="false" customHeight="true" outlineLevel="0" collapsed="false">
      <c r="A2" s="6" t="n">
        <v>1.8</v>
      </c>
      <c r="B2" s="2" t="n">
        <v>0.7</v>
      </c>
      <c r="C2" s="2" t="n">
        <f aca="false">SUM(B1:B2)</f>
        <v>1.2</v>
      </c>
      <c r="D2" s="2" t="n">
        <f aca="false">Erzeugung - C1</f>
        <v>5.5</v>
      </c>
      <c r="E2" s="4" t="n">
        <f aca="false">ROW(Gesamtverbrauch)-ROW(A2) +1</f>
        <v>5</v>
      </c>
      <c r="F2" s="2" t="n">
        <f aca="false">D2/E2</f>
        <v>1.1</v>
      </c>
      <c r="G2" s="7" t="n">
        <f aca="false">MIN(B2,fairshare)</f>
        <v>0.7</v>
      </c>
      <c r="I2" s="8" t="s">
        <v>0</v>
      </c>
      <c r="J2" s="8"/>
      <c r="K2" s="8"/>
      <c r="L2" s="8"/>
    </row>
    <row r="3" customFormat="false" ht="12.8" hidden="false" customHeight="false" outlineLevel="0" collapsed="false">
      <c r="A3" s="6" t="n">
        <v>1.3</v>
      </c>
      <c r="B3" s="2" t="n">
        <v>1.2</v>
      </c>
      <c r="C3" s="2" t="n">
        <f aca="false">SUM(B1:B3)</f>
        <v>2.4</v>
      </c>
      <c r="D3" s="2" t="n">
        <f aca="false">Erzeugung - C2</f>
        <v>4.8</v>
      </c>
      <c r="E3" s="4" t="n">
        <f aca="false">ROW(Gesamtverbrauch)-ROW(A3) +1</f>
        <v>4</v>
      </c>
      <c r="F3" s="2" t="n">
        <f aca="false">D3/E3</f>
        <v>1.2</v>
      </c>
      <c r="G3" s="7" t="n">
        <f aca="false">MIN(B3,fairshare)</f>
        <v>1.2</v>
      </c>
      <c r="I3" s="8"/>
      <c r="J3" s="8"/>
      <c r="K3" s="8"/>
      <c r="L3" s="8"/>
    </row>
    <row r="4" customFormat="false" ht="12.8" hidden="false" customHeight="false" outlineLevel="0" collapsed="false">
      <c r="A4" s="6" t="n">
        <v>1.2</v>
      </c>
      <c r="B4" s="2" t="n">
        <v>1.3</v>
      </c>
      <c r="C4" s="2" t="n">
        <f aca="false">SUM(B1:B4)</f>
        <v>3.7</v>
      </c>
      <c r="D4" s="2" t="n">
        <f aca="false">Erzeugung - C3</f>
        <v>3.6</v>
      </c>
      <c r="E4" s="4" t="n">
        <f aca="false">ROW(Gesamtverbrauch)-ROW(A4) +1</f>
        <v>3</v>
      </c>
      <c r="F4" s="2" t="n">
        <f aca="false">D4/E4</f>
        <v>1.2</v>
      </c>
      <c r="G4" s="7" t="n">
        <f aca="false">MIN(B4,fairshare)</f>
        <v>1.2</v>
      </c>
      <c r="I4" s="8"/>
      <c r="J4" s="8"/>
      <c r="K4" s="8"/>
      <c r="L4" s="8"/>
    </row>
    <row r="5" customFormat="false" ht="12.8" hidden="false" customHeight="false" outlineLevel="0" collapsed="false">
      <c r="A5" s="6" t="n">
        <v>0.7</v>
      </c>
      <c r="B5" s="2" t="n">
        <v>1.8</v>
      </c>
      <c r="C5" s="2" t="n">
        <f aca="false">SUM(B1:B5)</f>
        <v>5.5</v>
      </c>
      <c r="D5" s="2" t="n">
        <f aca="false">Erzeugung - C4</f>
        <v>2.3</v>
      </c>
      <c r="E5" s="4" t="n">
        <f aca="false">ROW(Gesamtverbrauch)-ROW(A5) +1</f>
        <v>2</v>
      </c>
      <c r="F5" s="2" t="n">
        <f aca="false">D5/E5</f>
        <v>1.15</v>
      </c>
      <c r="G5" s="7" t="n">
        <f aca="false">MIN(B5,fairshare)</f>
        <v>1.2</v>
      </c>
      <c r="I5" s="8"/>
      <c r="J5" s="8"/>
      <c r="K5" s="8"/>
      <c r="L5" s="8"/>
    </row>
    <row r="6" customFormat="false" ht="12.8" hidden="false" customHeight="false" outlineLevel="0" collapsed="false">
      <c r="A6" s="9" t="n">
        <v>0.5</v>
      </c>
      <c r="B6" s="2" t="n">
        <v>3.9</v>
      </c>
      <c r="C6" s="2" t="n">
        <f aca="false">SUM(B1:B6)</f>
        <v>9.4</v>
      </c>
      <c r="D6" s="2" t="n">
        <f aca="false">Erzeugung - C5</f>
        <v>0.5</v>
      </c>
      <c r="E6" s="4" t="n">
        <f aca="false">ROW(Gesamtverbrauch)-ROW(A6) +1</f>
        <v>1</v>
      </c>
      <c r="F6" s="2" t="n">
        <f aca="false">D6/E6</f>
        <v>0.5</v>
      </c>
      <c r="G6" s="10" t="n">
        <f aca="false">MIN(B6,fairshare)</f>
        <v>1.2</v>
      </c>
    </row>
    <row r="7" customFormat="false" ht="12.8" hidden="false" customHeight="false" outlineLevel="0" collapsed="false">
      <c r="A7" s="11" t="n">
        <f aca="false">SUM(A1:A6)</f>
        <v>9.4</v>
      </c>
      <c r="B7" s="12"/>
      <c r="C7" s="13"/>
      <c r="D7" s="12"/>
      <c r="E7" s="12"/>
      <c r="F7" s="14" t="n">
        <f aca="false">MAX(F1:F6)</f>
        <v>1.2</v>
      </c>
      <c r="G7" s="15" t="n">
        <f aca="false">SUM(G1:G6)</f>
        <v>6</v>
      </c>
    </row>
    <row r="8" customFormat="false" ht="12.8" hidden="false" customHeight="false" outlineLevel="0" collapsed="false">
      <c r="A8" s="16" t="n">
        <v>6</v>
      </c>
    </row>
    <row r="9" customFormat="false" ht="12.8" hidden="false" customHeight="false" outlineLevel="0" collapsed="false">
      <c r="A9" s="4" t="n">
        <f aca="false">ROW(A6)</f>
        <v>6</v>
      </c>
    </row>
  </sheetData>
  <mergeCells count="1">
    <mergeCell ref="I2:L5"/>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&amp;CSeite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1" sqref="G1:G6 A9"/>
    </sheetView>
  </sheetViews>
  <sheetFormatPr defaultColWidth="11.53515625" defaultRowHeight="12.8" customHeight="false" zeroHeight="false" outlineLevelRow="0" outlineLevelCol="0"/>
  <cols>
    <col collapsed="false" customWidth="false" hidden="false" outlineLevel="0" max="4" min="1" style="1" width="11.53"/>
  </cols>
  <sheetData>
    <row r="1" customFormat="false" ht="12.8" hidden="false" customHeight="false" outlineLevel="0" collapsed="false">
      <c r="A1" s="3" t="n">
        <v>3.9</v>
      </c>
      <c r="B1" s="17" t="n">
        <f aca="false">MIN(ErzeugProTN,A1)</f>
        <v>1</v>
      </c>
      <c r="C1" s="18" t="n">
        <f aca="false">MIN(RestErzeugungPP1,A1)</f>
        <v>1.2</v>
      </c>
      <c r="D1" s="19" t="n">
        <f aca="false">MIN(RestErzeugungPP2,A1)</f>
        <v>1.2</v>
      </c>
    </row>
    <row r="2" customFormat="false" ht="12.8" hidden="false" customHeight="true" outlineLevel="0" collapsed="false">
      <c r="A2" s="6" t="n">
        <v>1.8</v>
      </c>
      <c r="B2" s="17" t="n">
        <f aca="false">MIN(ErzeugProTN,A2)</f>
        <v>1</v>
      </c>
      <c r="C2" s="18" t="n">
        <f aca="false">MIN(RestErzeugungPP1,A2)</f>
        <v>1.2</v>
      </c>
      <c r="D2" s="20" t="n">
        <f aca="false">MIN(RestErzeugungPP2,A2)</f>
        <v>1.2</v>
      </c>
      <c r="F2" s="21" t="s">
        <v>1</v>
      </c>
      <c r="G2" s="21"/>
      <c r="H2" s="21"/>
      <c r="I2" s="21"/>
    </row>
    <row r="3" customFormat="false" ht="12.8" hidden="false" customHeight="false" outlineLevel="0" collapsed="false">
      <c r="A3" s="6" t="n">
        <v>1.3</v>
      </c>
      <c r="B3" s="17" t="n">
        <f aca="false">MIN(ErzeugProTN,A3)</f>
        <v>1</v>
      </c>
      <c r="C3" s="18" t="n">
        <f aca="false">MIN(RestErzeugungPP1,A3)</f>
        <v>1.2</v>
      </c>
      <c r="D3" s="20" t="n">
        <f aca="false">MIN(RestErzeugungPP2,A3)</f>
        <v>1.2</v>
      </c>
      <c r="F3" s="21"/>
      <c r="G3" s="21"/>
      <c r="H3" s="21"/>
      <c r="I3" s="21"/>
    </row>
    <row r="4" customFormat="false" ht="12.8" hidden="false" customHeight="false" outlineLevel="0" collapsed="false">
      <c r="A4" s="6" t="n">
        <v>1.2</v>
      </c>
      <c r="B4" s="17" t="n">
        <f aca="false">MIN(ErzeugProTN,A4)</f>
        <v>1</v>
      </c>
      <c r="C4" s="18" t="n">
        <f aca="false">MIN(RestErzeugungPP1,A4)</f>
        <v>1.2</v>
      </c>
      <c r="D4" s="20" t="n">
        <f aca="false">MIN(RestErzeugungPP2,A4)</f>
        <v>1.2</v>
      </c>
      <c r="F4" s="21"/>
      <c r="G4" s="21"/>
      <c r="H4" s="21"/>
      <c r="I4" s="21"/>
    </row>
    <row r="5" customFormat="false" ht="12.8" hidden="false" customHeight="false" outlineLevel="0" collapsed="false">
      <c r="A5" s="6" t="n">
        <v>0.7</v>
      </c>
      <c r="B5" s="17" t="n">
        <f aca="false">MIN(ErzeugProTN,A5)</f>
        <v>0.7</v>
      </c>
      <c r="C5" s="18" t="n">
        <f aca="false">MIN(RestErzeugungPP1,A5)</f>
        <v>0.7</v>
      </c>
      <c r="D5" s="20" t="n">
        <f aca="false">MIN(RestErzeugungPP2,A5)</f>
        <v>0.7</v>
      </c>
      <c r="F5" s="21"/>
      <c r="G5" s="21"/>
      <c r="H5" s="21"/>
      <c r="I5" s="21"/>
    </row>
    <row r="6" customFormat="false" ht="12.8" hidden="false" customHeight="false" outlineLevel="0" collapsed="false">
      <c r="A6" s="9" t="n">
        <v>0.5</v>
      </c>
      <c r="B6" s="17" t="n">
        <f aca="false">MIN(ErzeugProTN,A6)</f>
        <v>0.5</v>
      </c>
      <c r="C6" s="18" t="n">
        <f aca="false">MIN(RestErzeugungPP1,A6)</f>
        <v>0.5</v>
      </c>
      <c r="D6" s="22" t="n">
        <f aca="false">MIN(RestErzeugungPP2,A6)</f>
        <v>0.5</v>
      </c>
    </row>
    <row r="7" customFormat="false" ht="12.8" hidden="false" customHeight="false" outlineLevel="0" collapsed="false">
      <c r="A7" s="11" t="n">
        <f aca="false">SUM(A1:A6)</f>
        <v>9.4</v>
      </c>
      <c r="B7" s="23" t="n">
        <f aca="false">SUM(B1:B6)</f>
        <v>5.2</v>
      </c>
      <c r="C7" s="24" t="n">
        <f aca="false">SUM(C1:C6)</f>
        <v>6</v>
      </c>
      <c r="D7" s="25" t="n">
        <f aca="false">SUM(D1:D6)</f>
        <v>6</v>
      </c>
    </row>
    <row r="8" customFormat="false" ht="12.8" hidden="false" customHeight="false" outlineLevel="0" collapsed="false">
      <c r="A8" s="26" t="n">
        <v>6</v>
      </c>
      <c r="B8" s="2" t="n">
        <f aca="false">Erzeugung-B7</f>
        <v>0.8</v>
      </c>
      <c r="C8" s="2" t="n">
        <f aca="false">Erzeugung-C7</f>
        <v>0</v>
      </c>
      <c r="D8" s="2"/>
    </row>
    <row r="9" customFormat="false" ht="12.8" hidden="false" customHeight="false" outlineLevel="0" collapsed="false">
      <c r="A9" s="4" t="n">
        <f aca="false">COUNTIF(A1:A6,"&gt;0")</f>
        <v>6</v>
      </c>
      <c r="B9" s="4" t="n">
        <f aca="false">COUNTIF(B1:B6,"&gt;="&amp;A10)</f>
        <v>4</v>
      </c>
      <c r="C9" s="4" t="n">
        <f aca="false">COUNTIF(C1:C6,"&gt;="&amp;B11)</f>
        <v>4</v>
      </c>
      <c r="D9" s="2"/>
    </row>
    <row r="10" customFormat="false" ht="12.8" hidden="false" customHeight="false" outlineLevel="0" collapsed="false">
      <c r="A10" s="2" t="n">
        <f aca="false">Erzeugung/A9</f>
        <v>1</v>
      </c>
      <c r="B10" s="2" t="n">
        <f aca="false">B8/B9</f>
        <v>0.2</v>
      </c>
      <c r="C10" s="0" t="n">
        <f aca="false">C8/C9</f>
        <v>0</v>
      </c>
      <c r="D10" s="2"/>
    </row>
    <row r="11" customFormat="false" ht="12.8" hidden="false" customHeight="false" outlineLevel="0" collapsed="false">
      <c r="B11" s="2" t="n">
        <f aca="false">B10 + A10</f>
        <v>1.2</v>
      </c>
      <c r="C11" s="2" t="n">
        <f aca="false">C8/C9 + B11</f>
        <v>1.2</v>
      </c>
    </row>
  </sheetData>
  <mergeCells count="1">
    <mergeCell ref="F2:I5"/>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&amp;CSeite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30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2026-07-16T11:17:40Z</dcterms:created>
  <dc:creator/>
  <dc:description/>
  <dc:language>de-DE</dc:language>
  <cp:lastModifiedBy/>
  <dcterms:modified xsi:type="dcterms:W3CDTF">2026-07-18T18:39:12Z</dcterms:modified>
  <cp:revision>9</cp:revision>
  <dc:subject/>
  <dc:title/>
</cp:coreProperties>
</file>